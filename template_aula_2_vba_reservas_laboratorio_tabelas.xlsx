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trlProps/ctrlProp1.xml" ContentType="application/vnd.ms-excel.controlpropertie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1570" windowHeight="8925" activeTab="1"/>
  </bookViews>
  <sheets>
    <sheet name="Dashboard" sheetId="1" r:id="rId1"/>
    <sheet name="Tela_Lancamento" sheetId="2" r:id="rId2"/>
    <sheet name="Solicitacoes" sheetId="3" r:id="rId3"/>
    <sheet name="Itens_Solicitacao" sheetId="4" r:id="rId4"/>
    <sheet name="Cadastros" sheetId="5" r:id="rId5"/>
  </sheets>
  <definedNames>
    <definedName name="listaCodigosEquipamentos">Cadastros!$A$6:$A$10</definedName>
    <definedName name="listaTurmas">Cadastros!$D$6:$D$10</definedName>
  </definedNames>
  <calcPr calcId="152511"/>
</workbook>
</file>

<file path=xl/calcChain.xml><?xml version="1.0" encoding="utf-8"?>
<calcChain xmlns="http://schemas.openxmlformats.org/spreadsheetml/2006/main">
  <c r="B20" i="2" l="1"/>
  <c r="B19" i="2"/>
  <c r="B18" i="2"/>
  <c r="B17" i="2"/>
  <c r="B16" i="2"/>
  <c r="B15" i="2"/>
  <c r="B13" i="2"/>
  <c r="B14" i="2"/>
  <c r="D15" i="1" l="1"/>
  <c r="E15" i="1" s="1"/>
  <c r="A15" i="1"/>
  <c r="B15" i="1" s="1"/>
  <c r="D14" i="1"/>
  <c r="E14" i="1" s="1"/>
  <c r="A14" i="1"/>
  <c r="B14" i="1" s="1"/>
  <c r="D13" i="1"/>
  <c r="E13" i="1" s="1"/>
  <c r="A13" i="1"/>
  <c r="B13" i="1" s="1"/>
  <c r="D12" i="1"/>
  <c r="E12" i="1" s="1"/>
  <c r="A12" i="1"/>
  <c r="B12" i="1" s="1"/>
  <c r="D11" i="1"/>
  <c r="E11" i="1" s="1"/>
  <c r="A11" i="1"/>
  <c r="B11" i="1" s="1"/>
  <c r="G6" i="1"/>
  <c r="D6" i="1"/>
  <c r="A6" i="1"/>
</calcChain>
</file>

<file path=xl/sharedStrings.xml><?xml version="1.0" encoding="utf-8"?>
<sst xmlns="http://schemas.openxmlformats.org/spreadsheetml/2006/main" count="68" uniqueCount="54">
  <si>
    <t>Dashboard — Reservas do laboratório</t>
  </si>
  <si>
    <t>Os resumos usam os lançamentos; complete as fórmulas dos três indicadores verdes.</t>
  </si>
  <si>
    <t>Solicitações registradas</t>
  </si>
  <si>
    <t>Itens reservados</t>
  </si>
  <si>
    <t>Reservas para hoje ou depois</t>
  </si>
  <si>
    <t>Solicitações por turma</t>
  </si>
  <si>
    <t>Itens reservados por equipamento</t>
  </si>
  <si>
    <t>Turma</t>
  </si>
  <si>
    <t>Solicitacoes</t>
  </si>
  <si>
    <t>Equipamento</t>
  </si>
  <si>
    <t>Quantidade</t>
  </si>
  <si>
    <t>Gráfico: solicitações por turma (para usar a outra tabela, altere a fonte de dados do gráfico).</t>
  </si>
  <si>
    <t>Tela de lançamento — Reserva de laboratório</t>
  </si>
  <si>
    <t>Informe o código do equipamento. O nome será preenchido automaticamente a partir da Tabela 3 — Catálogo de equipamentos.</t>
  </si>
  <si>
    <t>Dados da solicitação</t>
  </si>
  <si>
    <t>ID da solicitação</t>
  </si>
  <si>
    <t>RES-001</t>
  </si>
  <si>
    <t>Botão a criar</t>
  </si>
  <si>
    <t>Data do pedido</t>
  </si>
  <si>
    <t>Registrar solicitação</t>
  </si>
  <si>
    <t>Professor responsável</t>
  </si>
  <si>
    <t>2A</t>
  </si>
  <si>
    <t>Data de uso</t>
  </si>
  <si>
    <t>Código do equipamento</t>
  </si>
  <si>
    <t>Observação</t>
  </si>
  <si>
    <t>EQ-10</t>
  </si>
  <si>
    <t>Usar cabo HDMI</t>
  </si>
  <si>
    <t>EQ-03</t>
  </si>
  <si>
    <t>Carregados</t>
  </si>
  <si>
    <t>Tabela 1 — Solicitações</t>
  </si>
  <si>
    <t>Cada linha representa uma reserva. A coluna ID é a ligação com a tabela de itens.</t>
  </si>
  <si>
    <t>ID_Solicitacao</t>
  </si>
  <si>
    <t>Data_Pedido</t>
  </si>
  <si>
    <t>Professor</t>
  </si>
  <si>
    <t>Data_Uso</t>
  </si>
  <si>
    <t>Tabela 2 — Itens da solicitação</t>
  </si>
  <si>
    <t>Cada linha registra o código do equipamento. A coluna Equipamento deve ser preenchida por busca na tblEquipamentos.</t>
  </si>
  <si>
    <t>Codigo_Equipamento</t>
  </si>
  <si>
    <t>Observacao</t>
  </si>
  <si>
    <t>Tabela 3 — Catálogo de equipamentos</t>
  </si>
  <si>
    <t>tblEquipamentos é a fonte de códigos e nomes. Ela evita cadastrar o mesmo equipamento com nomes diferentes.</t>
  </si>
  <si>
    <t>Projetor</t>
  </si>
  <si>
    <t>1A</t>
  </si>
  <si>
    <t>Notebook</t>
  </si>
  <si>
    <t>1B</t>
  </si>
  <si>
    <t>EQ-18</t>
  </si>
  <si>
    <t>Kit Robótica</t>
  </si>
  <si>
    <t>EQ-21</t>
  </si>
  <si>
    <t>Multímetro</t>
  </si>
  <si>
    <t>2B</t>
  </si>
  <si>
    <t>EQ-25</t>
  </si>
  <si>
    <t>Caixa de som</t>
  </si>
  <si>
    <t>3A</t>
  </si>
  <si>
    <t>joao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</si>
</sst>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</numFmts>
  <fonts count="13" x14ac:knownFonts="1">
    <font>
      <sz val="10"/>
      <name val="Arial"/>
      <family val="2"/>
    </font>
    <font>
      <sz val="10"/>
      <name val="Arial"/>
    </font>
    <font>
      <sz val="10"/>
      <color rgb="FF1F1F1F"/>
      <name val="Arial"/>
    </font>
    <font>
      <b/>
      <sz val="16"/>
      <color rgb="FF1F4E78"/>
      <name val="Arial"/>
    </font>
    <font>
      <i/>
      <sz val="10"/>
      <color rgb="FF666666"/>
      <name val="Arial"/>
    </font>
    <font>
      <b/>
      <sz val="10"/>
      <color rgb="FF1F4E78"/>
      <name val="Arial"/>
    </font>
    <font>
      <b/>
      <sz val="18"/>
      <color rgb="FF375623"/>
      <name val="Arial"/>
    </font>
    <font>
      <b/>
      <sz val="10"/>
      <color rgb="FF404040"/>
      <name val="Arial"/>
    </font>
    <font>
      <b/>
      <sz val="10"/>
      <color rgb="FFFFFFFF"/>
      <name val="Arial"/>
    </font>
    <font>
      <b/>
      <sz val="10"/>
      <color rgb="FF1F4E78"/>
      <name val="Arial"/>
    </font>
    <font>
      <b/>
      <sz val="10"/>
      <color rgb="FFFFFFFF"/>
      <name val="Arial"/>
    </font>
    <font>
      <sz val="10"/>
      <color rgb="FF1F1F1F"/>
      <name val="Arial"/>
    </font>
    <font>
      <sz val="10"/>
      <color rgb="FF666666"/>
      <name val="Arial"/>
    </font>
  </fonts>
  <fills count="8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1F4E78"/>
      </patternFill>
    </fill>
  </fills>
  <borders count="17">
    <border>
      <left/>
      <right/>
      <top/>
      <bottom/>
      <diagonal/>
    </border>
    <border>
      <left style="thin">
        <color rgb="FFA9D08E"/>
      </left>
      <right style="thin">
        <color rgb="FFA9D08E"/>
      </right>
      <top style="thin">
        <color rgb="FFA9D08E"/>
      </top>
      <bottom style="thin">
        <color rgb="FFA9D08E"/>
      </bottom>
      <diagonal/>
    </border>
    <border>
      <left style="thin">
        <color rgb="FFC9B458"/>
      </left>
      <right style="thin">
        <color rgb="FFC9B458"/>
      </right>
      <top style="thin">
        <color rgb="FFC9B458"/>
      </top>
      <bottom style="thin">
        <color rgb="FFC9B458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E6D690"/>
      </left>
      <right style="thin">
        <color rgb="FFE6D690"/>
      </right>
      <top style="thin">
        <color rgb="FFE6D690"/>
      </top>
      <bottom style="thin">
        <color rgb="FFE6D690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  <diagonal/>
    </border>
    <border>
      <left/>
      <right/>
      <top style="thin">
        <color rgb="FFA9D08E"/>
      </top>
      <bottom/>
      <diagonal/>
    </border>
    <border>
      <left/>
      <right style="thin">
        <color rgb="FFA9D08E"/>
      </right>
      <top style="thin">
        <color rgb="FFA9D08E"/>
      </top>
      <bottom/>
      <diagonal/>
    </border>
    <border>
      <left style="thin">
        <color rgb="FFA9D08E"/>
      </left>
      <right/>
      <top/>
      <bottom style="thin">
        <color rgb="FFA9D08E"/>
      </bottom>
      <diagonal/>
    </border>
    <border>
      <left/>
      <right/>
      <top/>
      <bottom style="thin">
        <color rgb="FFA9D08E"/>
      </bottom>
      <diagonal/>
    </border>
    <border>
      <left/>
      <right style="thin">
        <color rgb="FFA9D08E"/>
      </right>
      <top/>
      <bottom style="thin">
        <color rgb="FFA9D08E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/>
    <xf numFmtId="43" fontId="1" fillId="0" borderId="0"/>
    <xf numFmtId="41" fontId="1" fillId="0" borderId="0"/>
    <xf numFmtId="44" fontId="1" fillId="0" borderId="0"/>
    <xf numFmtId="42" fontId="1" fillId="0" borderId="0"/>
    <xf numFmtId="9" fontId="1" fillId="0" borderId="0"/>
  </cellStyleXfs>
  <cellXfs count="29">
    <xf numFmtId="0" fontId="0" fillId="0" borderId="0" xfId="0" applyAlignment="1"/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0" fillId="7" borderId="16" xfId="0" applyFont="1" applyFill="1" applyBorder="1" applyAlignment="1">
      <alignment horizontal="center"/>
    </xf>
    <xf numFmtId="0" fontId="11" fillId="0" borderId="16" xfId="0" applyFont="1" applyBorder="1" applyAlignment="1">
      <alignment vertical="center"/>
    </xf>
    <xf numFmtId="0" fontId="11" fillId="0" borderId="16" xfId="0" applyFont="1" applyBorder="1" applyAlignment="1">
      <alignment horizontal="center"/>
    </xf>
    <xf numFmtId="0" fontId="12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2" fillId="4" borderId="2" xfId="0" applyFont="1" applyFill="1" applyBorder="1" applyAlignment="1">
      <alignment vertical="center"/>
    </xf>
    <xf numFmtId="0" fontId="5" fillId="5" borderId="3" xfId="0" applyFont="1" applyFill="1" applyBorder="1" applyAlignment="1">
      <alignment horizontal="center" vertical="center"/>
    </xf>
    <xf numFmtId="14" fontId="2" fillId="4" borderId="2" xfId="0" applyNumberFormat="1" applyFont="1" applyFill="1" applyBorder="1" applyAlignment="1">
      <alignment vertical="center"/>
    </xf>
    <xf numFmtId="0" fontId="7" fillId="5" borderId="4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vertical="center"/>
    </xf>
    <xf numFmtId="0" fontId="2" fillId="0" borderId="9" xfId="0" applyFont="1" applyBorder="1" applyAlignment="1">
      <alignment vertical="center"/>
    </xf>
    <xf numFmtId="14" fontId="2" fillId="0" borderId="9" xfId="0" applyNumberFormat="1" applyFont="1" applyBorder="1" applyAlignment="1">
      <alignment vertical="center"/>
    </xf>
    <xf numFmtId="0" fontId="8" fillId="6" borderId="10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6">
    <cellStyle name="Comma" xfId="1"/>
    <cellStyle name="Comma [0]" xfId="2"/>
    <cellStyle name="Currency" xfId="3"/>
    <cellStyle name="Currency [0]" xfId="4"/>
    <cellStyle name="Normal" xfId="0" builtinId="0"/>
    <cellStyle name="Percent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08E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E6D690"/>
      <rgbColor rgb="FF3366FF"/>
      <rgbColor rgb="FF33CCCC"/>
      <rgbColor rgb="FFC9B458"/>
      <rgbColor rgb="FFFFCC00"/>
      <rgbColor rgb="FFFF9900"/>
      <rgbColor rgb="FFFF6600"/>
      <rgbColor rgb="FF666666"/>
      <rgbColor rgb="FFA6A6A6"/>
      <rgbColor rgb="FF003366"/>
      <rgbColor rgb="FF339966"/>
      <rgbColor rgb="FF375623"/>
      <rgbColor rgb="FF1F1F1F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Solicitações por turma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Dashboard!$B$10</c:f>
              <c:strCache>
                <c:ptCount val="1"/>
                <c:pt idx="0">
                  <c:v>Solicitacoes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Dashboard!$A$11:$A$15</c:f>
              <c:strCache>
                <c:ptCount val="5"/>
                <c:pt idx="0">
                  <c:v>1A</c:v>
                </c:pt>
                <c:pt idx="1">
                  <c:v>1B</c:v>
                </c:pt>
                <c:pt idx="2">
                  <c:v>2A</c:v>
                </c:pt>
                <c:pt idx="3">
                  <c:v>2B</c:v>
                </c:pt>
                <c:pt idx="4">
                  <c:v>3A</c:v>
                </c:pt>
              </c:strCache>
            </c:strRef>
          </c:cat>
          <c:val>
            <c:numRef>
              <c:f>Dashboard!$B$11:$B$15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D22-44B1-A441-7FDE6E0EE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965912"/>
        <c:axId val="121968264"/>
      </c:barChart>
      <c:catAx>
        <c:axId val="121965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Turma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21968264"/>
        <c:crosses val="autoZero"/>
        <c:auto val="1"/>
        <c:lblAlgn val="ctr"/>
        <c:lblOffset val="100"/>
        <c:noMultiLvlLbl val="1"/>
      </c:catAx>
      <c:valAx>
        <c:axId val="1219682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Solicitações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21965912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17</xdr:row>
      <xdr:rowOff>0</xdr:rowOff>
    </xdr:from>
    <xdr:ext cx="504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628650</xdr:colOff>
          <xdr:row>6</xdr:row>
          <xdr:rowOff>9525</xdr:rowOff>
        </xdr:from>
        <xdr:to>
          <xdr:col>6</xdr:col>
          <xdr:colOff>0</xdr:colOff>
          <xdr:row>6</xdr:row>
          <xdr:rowOff>180975</xdr:rowOff>
        </xdr:to>
        <xdr:sp macro="" textlink="">
          <xdr:nvSpPr>
            <xdr:cNvPr id="2050" name="Button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Botão 2</a:t>
              </a:r>
            </a:p>
          </xdr:txBody>
        </xdr:sp>
        <xdr:clientData fPrintsWithSheet="0"/>
      </xdr:twoCellAnchor>
    </mc:Choice>
    <mc:Fallback/>
  </mc:AlternateContent>
</xdr:wsDr>
</file>

<file path=xl/tables/table1.xml><?xml version="1.0" encoding="utf-8"?>
<table xmlns="http://schemas.openxmlformats.org/spreadsheetml/2006/main" id="1" name="tblResumoTurmas" displayName="tblResumoTurmas" ref="A10:B15">
  <autoFilter ref="A10:B15"/>
  <tableColumns count="2">
    <tableColumn id="1" name="Turma"/>
    <tableColumn id="2" name="Solicitaco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ResumoEquipamentos" displayName="tblResumoEquipamentos" ref="D10:E15">
  <autoFilter ref="D10:E15"/>
  <tableColumns count="2">
    <tableColumn id="4" name="Equipamento"/>
    <tableColumn id="5" name="Quantida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Solicitacoes" displayName="tblSolicitacoes" ref="A5:E6">
  <autoFilter ref="A5:E6"/>
  <tableColumns count="5">
    <tableColumn id="1" name="ID_Solicitacao"/>
    <tableColumn id="2" name="Data_Pedido"/>
    <tableColumn id="3" name="Professor"/>
    <tableColumn id="4" name="Turma"/>
    <tableColumn id="5" name="Data_Us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ItensSolicitacao" displayName="tblItensSolicitacao" ref="A5:E6">
  <autoFilter ref="A5:E6"/>
  <tableColumns count="5">
    <tableColumn id="1" name="ID_Solicitacao"/>
    <tableColumn id="2" name="Codigo_Equipamento"/>
    <tableColumn id="3" name="Equipamento"/>
    <tableColumn id="4" name="Quantidade"/>
    <tableColumn id="5" name="Observaca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Equipamentos" displayName="tblEquipamentos" ref="A5:B10" totalsRowShown="0">
  <autoFilter ref="A5:B10"/>
  <sortState ref="A6:B10">
    <sortCondition ref="A5:A10"/>
  </sortState>
  <tableColumns count="2">
    <tableColumn id="1" name="Codigo_Equipamento"/>
    <tableColumn id="2" name="Equipament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Turmas" displayName="tblTurmas" ref="D5:D10" totalsRowShown="0">
  <autoFilter ref="D5:D10"/>
  <tableColumns count="1">
    <tableColumn id="1" name="Tur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J1048576"/>
  <sheetViews>
    <sheetView showGridLines="0" workbookViewId="0"/>
  </sheetViews>
  <sheetFormatPr defaultColWidth="9.7109375" defaultRowHeight="12.75" x14ac:dyDescent="0.2"/>
  <cols>
    <col min="1" max="1" width="28.42578125" style="1" customWidth="1"/>
    <col min="2" max="2" width="15.85546875" style="1" customWidth="1"/>
    <col min="3" max="3" width="4.5703125" style="1" customWidth="1"/>
    <col min="4" max="4" width="27.28515625" style="1" customWidth="1"/>
    <col min="5" max="5" width="15.85546875" style="1" customWidth="1"/>
    <col min="6" max="6" width="4.5703125" style="1" customWidth="1"/>
    <col min="7" max="9" width="18.140625" style="1" customWidth="1"/>
  </cols>
  <sheetData>
    <row r="1" spans="1:10" ht="1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27.95" customHeight="1" x14ac:dyDescent="0.2">
      <c r="A2" s="3" t="s">
        <v>0</v>
      </c>
      <c r="B2" s="2"/>
      <c r="C2" s="2"/>
      <c r="D2" s="2"/>
      <c r="E2" s="2"/>
      <c r="F2" s="2"/>
      <c r="G2" s="2"/>
      <c r="H2" s="2"/>
      <c r="I2" s="2"/>
      <c r="J2" s="2"/>
    </row>
    <row r="3" spans="1:10" ht="15" customHeight="1" x14ac:dyDescent="0.2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 ht="1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ht="15" customHeight="1" x14ac:dyDescent="0.2">
      <c r="A5" s="5" t="s">
        <v>2</v>
      </c>
      <c r="B5" s="5"/>
      <c r="C5" s="5"/>
      <c r="D5" s="5" t="s">
        <v>3</v>
      </c>
      <c r="E5" s="5"/>
      <c r="F5" s="5"/>
      <c r="G5" s="5" t="s">
        <v>4</v>
      </c>
      <c r="H5" s="5"/>
      <c r="I5" s="5"/>
      <c r="J5" s="2"/>
    </row>
    <row r="6" spans="1:10" ht="15" customHeight="1" x14ac:dyDescent="0.2">
      <c r="A6" s="23">
        <f>COUNTA(tblSolicitacoes[ID_Solicitacao])</f>
        <v>0</v>
      </c>
      <c r="B6" s="24"/>
      <c r="C6" s="25"/>
      <c r="D6" s="23">
        <f>SUM(tblItensSolicitacao[Quantidade])</f>
        <v>0</v>
      </c>
      <c r="E6" s="24"/>
      <c r="F6" s="25"/>
      <c r="G6" s="23">
        <f ca="1">COUNTIF(tblSolicitacoes[Data_Uso],"&gt;="&amp;TODAY())</f>
        <v>0</v>
      </c>
      <c r="H6" s="24"/>
      <c r="I6" s="25"/>
      <c r="J6" s="2"/>
    </row>
    <row r="7" spans="1:10" ht="15" customHeight="1" x14ac:dyDescent="0.2">
      <c r="A7" s="26"/>
      <c r="B7" s="27"/>
      <c r="C7" s="28"/>
      <c r="D7" s="26"/>
      <c r="E7" s="27"/>
      <c r="F7" s="28"/>
      <c r="G7" s="26"/>
      <c r="H7" s="27"/>
      <c r="I7" s="28"/>
      <c r="J7" s="2"/>
    </row>
    <row r="8" spans="1:10" ht="1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ht="15" customHeight="1" x14ac:dyDescent="0.2">
      <c r="A9" s="6" t="s">
        <v>5</v>
      </c>
      <c r="B9" s="2"/>
      <c r="C9" s="2"/>
      <c r="D9" s="6" t="s">
        <v>6</v>
      </c>
      <c r="E9" s="2"/>
      <c r="F9" s="2"/>
      <c r="G9" s="2"/>
      <c r="H9" s="2"/>
      <c r="I9" s="2"/>
      <c r="J9" s="2"/>
    </row>
    <row r="10" spans="1:10" ht="15" customHeight="1" x14ac:dyDescent="0.2">
      <c r="A10" s="7" t="s">
        <v>7</v>
      </c>
      <c r="B10" s="7" t="s">
        <v>8</v>
      </c>
      <c r="C10" s="2"/>
      <c r="D10" s="7" t="s">
        <v>9</v>
      </c>
      <c r="E10" s="7" t="s">
        <v>10</v>
      </c>
      <c r="F10" s="2"/>
      <c r="G10" s="2"/>
      <c r="H10" s="2"/>
      <c r="I10" s="2"/>
      <c r="J10" s="2"/>
    </row>
    <row r="11" spans="1:10" ht="15" customHeight="1" x14ac:dyDescent="0.2">
      <c r="A11" s="8" t="str">
        <f>IFERROR(INDEX(tblTurmas[Turma],1),"")</f>
        <v>1A</v>
      </c>
      <c r="B11" s="9">
        <f>IF(A11="","",COUNTIF(tblSolicitacoes[Turma],A11))</f>
        <v>0</v>
      </c>
      <c r="C11" s="2"/>
      <c r="D11" s="8" t="str">
        <f>IFERROR(INDEX(tblEquipamentos[Equipamento],1),"")</f>
        <v>Notebook</v>
      </c>
      <c r="E11" s="9">
        <f>IF(D11="","",SUMIF(tblItensSolicitacao[Equipamento],D11,tblItensSolicitacao[Quantidade]))</f>
        <v>0</v>
      </c>
      <c r="F11" s="2"/>
      <c r="G11" s="2"/>
      <c r="H11" s="2"/>
      <c r="I11" s="2"/>
      <c r="J11" s="2"/>
    </row>
    <row r="12" spans="1:10" ht="15" customHeight="1" x14ac:dyDescent="0.2">
      <c r="A12" s="8" t="str">
        <f>IFERROR(INDEX(tblTurmas[Turma],2),"")</f>
        <v>1B</v>
      </c>
      <c r="B12" s="9">
        <f>IF(A12="","",COUNTIF(tblSolicitacoes[Turma],A12))</f>
        <v>0</v>
      </c>
      <c r="C12" s="2"/>
      <c r="D12" s="8" t="str">
        <f>IFERROR(INDEX(tblEquipamentos[Equipamento],2),"")</f>
        <v>Projetor</v>
      </c>
      <c r="E12" s="9">
        <f>IF(D12="","",SUMIF(tblItensSolicitacao[Equipamento],D12,tblItensSolicitacao[Quantidade]))</f>
        <v>0</v>
      </c>
      <c r="F12" s="2"/>
      <c r="G12" s="2"/>
      <c r="H12" s="2"/>
      <c r="I12" s="2"/>
      <c r="J12" s="2"/>
    </row>
    <row r="13" spans="1:10" ht="15" customHeight="1" x14ac:dyDescent="0.2">
      <c r="A13" s="8" t="str">
        <f>IFERROR(INDEX(tblTurmas[Turma],3),"")</f>
        <v>2A</v>
      </c>
      <c r="B13" s="9">
        <f>IF(A13="","",COUNTIF(tblSolicitacoes[Turma],A13))</f>
        <v>0</v>
      </c>
      <c r="C13" s="2"/>
      <c r="D13" s="8" t="str">
        <f>IFERROR(INDEX(tblEquipamentos[Equipamento],3),"")</f>
        <v>Kit Robótica</v>
      </c>
      <c r="E13" s="9">
        <f>IF(D13="","",SUMIF(tblItensSolicitacao[Equipamento],D13,tblItensSolicitacao[Quantidade]))</f>
        <v>0</v>
      </c>
      <c r="F13" s="2"/>
      <c r="G13" s="2"/>
      <c r="H13" s="2"/>
      <c r="I13" s="2"/>
      <c r="J13" s="2"/>
    </row>
    <row r="14" spans="1:10" ht="15" customHeight="1" x14ac:dyDescent="0.2">
      <c r="A14" s="8" t="str">
        <f>IFERROR(INDEX(tblTurmas[Turma],4),"")</f>
        <v>2B</v>
      </c>
      <c r="B14" s="9">
        <f>IF(A14="","",COUNTIF(tblSolicitacoes[Turma],A14))</f>
        <v>0</v>
      </c>
      <c r="C14" s="2"/>
      <c r="D14" s="8" t="str">
        <f>IFERROR(INDEX(tblEquipamentos[Equipamento],4),"")</f>
        <v>Multímetro</v>
      </c>
      <c r="E14" s="9">
        <f>IF(D14="","",SUMIF(tblItensSolicitacao[Equipamento],D14,tblItensSolicitacao[Quantidade]))</f>
        <v>0</v>
      </c>
      <c r="F14" s="2"/>
      <c r="G14" s="2"/>
      <c r="H14" s="2"/>
      <c r="I14" s="2"/>
      <c r="J14" s="2"/>
    </row>
    <row r="15" spans="1:10" ht="15" customHeight="1" x14ac:dyDescent="0.2">
      <c r="A15" s="8" t="str">
        <f>IFERROR(INDEX(tblTurmas[Turma],5),"")</f>
        <v>3A</v>
      </c>
      <c r="B15" s="9">
        <f>IF(A15="","",COUNTIF(tblSolicitacoes[Turma],A15))</f>
        <v>0</v>
      </c>
      <c r="C15" s="2"/>
      <c r="D15" s="8" t="str">
        <f>IFERROR(INDEX(tblEquipamentos[Equipamento],5),"")</f>
        <v>Caixa de som</v>
      </c>
      <c r="E15" s="9">
        <f>IF(D15="","",SUMIF(tblItensSolicitacao[Equipamento],D15,tblItensSolicitacao[Quantidade]))</f>
        <v>0</v>
      </c>
      <c r="F15" s="2"/>
      <c r="G15" s="2"/>
      <c r="H15" s="2"/>
      <c r="I15" s="2"/>
      <c r="J15" s="2"/>
    </row>
    <row r="16" spans="1:10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15" customHeight="1" x14ac:dyDescent="0.2">
      <c r="A17" s="10" t="s">
        <v>11</v>
      </c>
      <c r="B17" s="2"/>
      <c r="C17" s="2"/>
      <c r="D17" s="2"/>
      <c r="E17" s="2"/>
      <c r="F17" s="2"/>
      <c r="G17" s="2"/>
      <c r="H17" s="2"/>
      <c r="I17" s="2"/>
      <c r="J17" s="2"/>
    </row>
    <row r="18" spans="1:10" ht="1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ht="1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t="1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ht="1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ht="1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ht="1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ht="1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ht="1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ht="1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ht="1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ht="1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ht="1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ht="1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ht="1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ht="1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ht="1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ht="1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ht="1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ht="1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ht="1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ht="1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ht="1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ht="1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ht="1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ht="1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ht="1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ht="1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ht="1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ht="1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ht="1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ht="1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1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1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ht="1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ht="1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ht="1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ht="1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ht="1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ht="1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ht="1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ht="1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ht="1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ht="1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ht="1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ht="1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ht="1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ht="1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ht="1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ht="1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ht="1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ht="1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ht="1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ht="1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ht="1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ht="1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ht="1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ht="1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ht="1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ht="1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ht="1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ht="1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ht="1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ht="1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ht="1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ht="1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ht="1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ht="1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ht="1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ht="1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ht="1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ht="1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ht="1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ht="1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ht="1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ht="1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ht="1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ht="1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ht="1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ht="1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ht="1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ht="1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ht="1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ht="1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ht="1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ht="1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ht="1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ht="1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ht="1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ht="1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ht="1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ht="1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ht="1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ht="1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ht="1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ht="1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ht="1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ht="1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ht="1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ht="1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ht="1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ht="1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ht="1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ht="1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ht="1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ht="1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ht="1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ht="1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ht="1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ht="1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ht="1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ht="1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ht="1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ht="1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ht="1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ht="1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ht="1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ht="1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ht="1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ht="1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ht="1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ht="1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ht="1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ht="1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ht="1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ht="1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ht="1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ht="1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ht="1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ht="1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ht="1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ht="1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ht="1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ht="1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ht="1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ht="1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ht="1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ht="1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ht="1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ht="1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ht="1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ht="1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ht="1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ht="1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ht="1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ht="1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ht="1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ht="1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ht="1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ht="1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ht="1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ht="1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ht="1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ht="1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ht="1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1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ht="1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ht="1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ht="1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ht="1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ht="1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ht="1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ht="1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ht="1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ht="1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ht="1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ht="1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ht="1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ht="1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ht="1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ht="1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ht="1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ht="1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ht="1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ht="1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ht="1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048571" ht="12.75" customHeight="1" x14ac:dyDescent="0.2"/>
    <row r="1048572" ht="12.75" customHeight="1" x14ac:dyDescent="0.2"/>
    <row r="1048573" ht="12.75" customHeight="1" x14ac:dyDescent="0.2"/>
    <row r="1048574" ht="12.75" customHeight="1" x14ac:dyDescent="0.2"/>
    <row r="1048575" ht="12.75" customHeight="1" x14ac:dyDescent="0.2"/>
    <row r="1048576" ht="12.75" customHeight="1" x14ac:dyDescent="0.2"/>
  </sheetData>
  <mergeCells count="3">
    <mergeCell ref="A6:C7"/>
    <mergeCell ref="G6:I7"/>
    <mergeCell ref="D6:F7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2"/>
  <dimension ref="A1:J200"/>
  <sheetViews>
    <sheetView showGridLines="0" tabSelected="1" workbookViewId="0">
      <selection activeCell="F7" sqref="F7"/>
    </sheetView>
  </sheetViews>
  <sheetFormatPr defaultColWidth="9.7109375" defaultRowHeight="12.75" x14ac:dyDescent="0.2"/>
  <cols>
    <col min="1" max="1" width="26.140625" style="1" customWidth="1"/>
    <col min="2" max="2" width="27.28515625" style="1" customWidth="1"/>
    <col min="3" max="3" width="15.85546875" style="1" customWidth="1"/>
    <col min="4" max="4" width="29.5703125" style="1" customWidth="1"/>
    <col min="6" max="6" width="27.28515625" style="1" customWidth="1"/>
  </cols>
  <sheetData>
    <row r="1" spans="1:10" ht="1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27.95" customHeight="1" x14ac:dyDescent="0.2">
      <c r="A2" s="3" t="s">
        <v>12</v>
      </c>
      <c r="B2" s="2"/>
      <c r="C2" s="2"/>
      <c r="D2" s="2"/>
      <c r="E2" s="2"/>
      <c r="F2" s="2"/>
      <c r="G2" s="2"/>
      <c r="H2" s="2"/>
      <c r="I2" s="2"/>
      <c r="J2" s="2"/>
    </row>
    <row r="3" spans="1:10" ht="15" customHeight="1" x14ac:dyDescent="0.2">
      <c r="A3" s="4" t="s">
        <v>13</v>
      </c>
      <c r="B3" s="2"/>
      <c r="C3" s="2"/>
      <c r="D3" s="2"/>
      <c r="E3" s="2"/>
      <c r="F3" s="2"/>
      <c r="G3" s="2"/>
      <c r="H3" s="2"/>
      <c r="I3" s="2"/>
      <c r="J3" s="2"/>
    </row>
    <row r="4" spans="1:10" ht="1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ht="15" customHeight="1" x14ac:dyDescent="0.2">
      <c r="A5" s="11" t="s">
        <v>14</v>
      </c>
      <c r="B5" s="11"/>
      <c r="C5" s="11"/>
      <c r="D5" s="2"/>
      <c r="E5" s="2"/>
      <c r="F5" s="2"/>
      <c r="G5" s="2"/>
      <c r="H5" s="2"/>
      <c r="I5" s="2"/>
      <c r="J5" s="2"/>
    </row>
    <row r="6" spans="1:10" ht="15" customHeight="1" x14ac:dyDescent="0.2">
      <c r="A6" s="2" t="s">
        <v>15</v>
      </c>
      <c r="B6" s="12" t="s">
        <v>16</v>
      </c>
      <c r="C6" s="2"/>
      <c r="D6" s="2"/>
      <c r="E6" s="2"/>
      <c r="F6" s="13" t="s">
        <v>17</v>
      </c>
      <c r="G6" s="2"/>
      <c r="H6" s="2"/>
      <c r="I6" s="2"/>
      <c r="J6" s="2"/>
    </row>
    <row r="7" spans="1:10" ht="15" customHeight="1" x14ac:dyDescent="0.2">
      <c r="A7" s="2" t="s">
        <v>18</v>
      </c>
      <c r="B7" s="14">
        <v>46297</v>
      </c>
      <c r="C7" s="2"/>
      <c r="D7" s="2"/>
      <c r="E7" s="2"/>
      <c r="F7" s="15" t="s">
        <v>19</v>
      </c>
      <c r="G7" s="2"/>
      <c r="H7" s="2"/>
      <c r="I7" s="2"/>
      <c r="J7" s="2"/>
    </row>
    <row r="8" spans="1:10" ht="15" customHeight="1" x14ac:dyDescent="0.2">
      <c r="A8" s="2" t="s">
        <v>20</v>
      </c>
      <c r="B8" s="12" t="s">
        <v>53</v>
      </c>
      <c r="C8" s="2"/>
      <c r="D8" s="2"/>
      <c r="E8" s="2"/>
      <c r="F8" s="2"/>
      <c r="G8" s="2"/>
      <c r="H8" s="2"/>
      <c r="I8" s="2"/>
      <c r="J8" s="2"/>
    </row>
    <row r="9" spans="1:10" ht="15" customHeight="1" x14ac:dyDescent="0.2">
      <c r="A9" s="2" t="s">
        <v>7</v>
      </c>
      <c r="B9" s="12" t="s">
        <v>52</v>
      </c>
      <c r="C9" s="2"/>
      <c r="D9" s="2"/>
      <c r="E9" s="2"/>
      <c r="F9" s="2"/>
      <c r="G9" s="2"/>
      <c r="H9" s="2"/>
      <c r="I9" s="2"/>
      <c r="J9" s="2"/>
    </row>
    <row r="10" spans="1:10" ht="15" customHeight="1" x14ac:dyDescent="0.2">
      <c r="A10" s="2" t="s">
        <v>22</v>
      </c>
      <c r="B10" s="14">
        <v>46304</v>
      </c>
      <c r="C10" s="2"/>
      <c r="D10" s="2"/>
      <c r="E10" s="2"/>
      <c r="F10" s="2"/>
      <c r="G10" s="2"/>
      <c r="H10" s="2"/>
      <c r="I10" s="2"/>
      <c r="J10" s="2"/>
    </row>
    <row r="11" spans="1:10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15" customHeight="1" x14ac:dyDescent="0.2">
      <c r="A12" s="16" t="s">
        <v>23</v>
      </c>
      <c r="B12" s="17" t="s">
        <v>9</v>
      </c>
      <c r="C12" s="17" t="s">
        <v>10</v>
      </c>
      <c r="D12" s="18" t="s">
        <v>24</v>
      </c>
      <c r="E12" s="2"/>
      <c r="F12" s="2"/>
      <c r="G12" s="2"/>
      <c r="H12" s="2"/>
      <c r="I12" s="2"/>
      <c r="J12" s="2"/>
    </row>
    <row r="13" spans="1:10" ht="15" customHeight="1" x14ac:dyDescent="0.2">
      <c r="A13" s="19" t="s">
        <v>27</v>
      </c>
      <c r="B13" s="19" t="str">
        <f>IFERROR(VLOOKUP(A13,tblEquipamentos[],2),"")</f>
        <v>Notebook</v>
      </c>
      <c r="C13" s="19">
        <v>1</v>
      </c>
      <c r="D13" s="19" t="s">
        <v>26</v>
      </c>
      <c r="E13" s="2"/>
      <c r="F13" s="2"/>
      <c r="G13" s="2"/>
      <c r="H13" s="2"/>
      <c r="I13" s="2"/>
      <c r="J13" s="2"/>
    </row>
    <row r="14" spans="1:10" ht="15" customHeight="1" x14ac:dyDescent="0.2">
      <c r="A14" s="19" t="s">
        <v>27</v>
      </c>
      <c r="B14" s="19" t="str">
        <f>IFERROR(VLOOKUP(A14,tblEquipamentos[],2),"")</f>
        <v>Notebook</v>
      </c>
      <c r="C14" s="19">
        <v>3</v>
      </c>
      <c r="D14" s="19" t="s">
        <v>28</v>
      </c>
      <c r="E14" s="2"/>
      <c r="F14" s="2"/>
      <c r="G14" s="2"/>
      <c r="H14" s="2"/>
      <c r="I14" s="2"/>
      <c r="J14" s="2"/>
    </row>
    <row r="15" spans="1:10" ht="15" customHeight="1" x14ac:dyDescent="0.2">
      <c r="A15" s="19" t="s">
        <v>27</v>
      </c>
      <c r="B15" s="19" t="str">
        <f>IFERROR(VLOOKUP(A15,tblEquipamentos[],2),"")</f>
        <v>Notebook</v>
      </c>
      <c r="C15" s="19"/>
      <c r="D15" s="19"/>
      <c r="E15" s="2"/>
      <c r="F15" s="2"/>
      <c r="G15" s="2"/>
      <c r="H15" s="2"/>
      <c r="I15" s="2"/>
      <c r="J15" s="2"/>
    </row>
    <row r="16" spans="1:10" ht="15" customHeight="1" x14ac:dyDescent="0.2">
      <c r="A16" s="19"/>
      <c r="B16" s="19" t="str">
        <f>IFERROR(VLOOKUP(A16,tblEquipamentos[],2),"")</f>
        <v/>
      </c>
      <c r="C16" s="19"/>
      <c r="D16" s="19"/>
      <c r="E16" s="2"/>
      <c r="F16" s="2"/>
      <c r="G16" s="2"/>
      <c r="H16" s="2"/>
      <c r="I16" s="2"/>
      <c r="J16" s="2"/>
    </row>
    <row r="17" spans="1:10" ht="15" customHeight="1" x14ac:dyDescent="0.2">
      <c r="A17" s="19"/>
      <c r="B17" s="19" t="str">
        <f>IFERROR(VLOOKUP(A17,tblEquipamentos[],2),"")</f>
        <v/>
      </c>
      <c r="C17" s="19"/>
      <c r="D17" s="19"/>
      <c r="E17" s="2"/>
      <c r="F17" s="2"/>
      <c r="G17" s="2"/>
      <c r="H17" s="2"/>
      <c r="I17" s="2"/>
      <c r="J17" s="2"/>
    </row>
    <row r="18" spans="1:10" ht="15" customHeight="1" x14ac:dyDescent="0.2">
      <c r="A18" s="19"/>
      <c r="B18" s="19" t="str">
        <f>IFERROR(VLOOKUP(A18,tblEquipamentos[],2),"")</f>
        <v/>
      </c>
      <c r="C18" s="19"/>
      <c r="D18" s="19"/>
      <c r="E18" s="2"/>
      <c r="F18" s="2"/>
      <c r="G18" s="2"/>
      <c r="H18" s="2"/>
      <c r="I18" s="2"/>
      <c r="J18" s="2"/>
    </row>
    <row r="19" spans="1:10" ht="15" customHeight="1" x14ac:dyDescent="0.2">
      <c r="A19" s="19"/>
      <c r="B19" s="19" t="str">
        <f>IFERROR(VLOOKUP(A19,tblEquipamentos[],2),"")</f>
        <v/>
      </c>
      <c r="C19" s="19"/>
      <c r="D19" s="19"/>
      <c r="E19" s="2"/>
      <c r="F19" s="2"/>
      <c r="G19" s="2"/>
      <c r="H19" s="2"/>
      <c r="I19" s="2"/>
      <c r="J19" s="2"/>
    </row>
    <row r="20" spans="1:10" ht="15" customHeight="1" x14ac:dyDescent="0.2">
      <c r="A20" s="19"/>
      <c r="B20" s="19" t="str">
        <f>IFERROR(VLOOKUP(A20,tblEquipamentos[],2),"")</f>
        <v/>
      </c>
      <c r="C20" s="19"/>
      <c r="D20" s="19"/>
      <c r="E20" s="2"/>
      <c r="F20" s="2"/>
      <c r="G20" s="2"/>
      <c r="H20" s="2"/>
      <c r="I20" s="2"/>
      <c r="J20" s="2"/>
    </row>
    <row r="21" spans="1:10" ht="1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ht="1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ht="1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ht="1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ht="1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ht="1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ht="1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ht="1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ht="1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ht="1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ht="1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ht="1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ht="1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ht="1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ht="1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ht="1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ht="1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ht="1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ht="1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ht="1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ht="1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ht="1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ht="1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ht="1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ht="1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ht="1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ht="1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ht="1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1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1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ht="1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ht="1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ht="1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ht="1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ht="1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ht="1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ht="1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ht="1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ht="1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ht="1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ht="1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ht="1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ht="1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ht="1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ht="1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ht="1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ht="1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ht="1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ht="1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ht="1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ht="1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ht="1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ht="1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ht="1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ht="1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ht="1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ht="1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ht="1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ht="1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ht="1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ht="1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ht="1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ht="1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ht="1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ht="1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ht="1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ht="1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ht="1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ht="1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ht="1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ht="1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ht="1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ht="1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ht="1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ht="1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ht="1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ht="1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ht="1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ht="1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ht="1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ht="1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ht="1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ht="1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ht="1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ht="1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ht="1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ht="1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ht="1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ht="1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ht="1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ht="1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ht="1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ht="1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ht="1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ht="1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ht="1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ht="1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ht="1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ht="1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ht="1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ht="1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ht="1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ht="1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ht="1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ht="1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ht="1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ht="1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ht="1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ht="1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ht="1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ht="1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ht="1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ht="1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ht="1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ht="1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ht="1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ht="1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ht="1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ht="1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ht="1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ht="1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ht="1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ht="1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ht="1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ht="1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ht="1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ht="1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ht="1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ht="1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ht="1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ht="1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ht="1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ht="1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ht="1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ht="1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ht="1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ht="1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ht="1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ht="1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ht="1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ht="1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ht="1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ht="1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ht="1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ht="1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ht="1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ht="1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ht="1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ht="1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ht="1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ht="1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1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ht="1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ht="1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ht="1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ht="1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ht="1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ht="1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ht="1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ht="1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ht="1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ht="1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ht="1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ht="1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ht="1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ht="1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ht="1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ht="1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ht="1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ht="1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ht="1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ht="1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ht="1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ht="1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ht="1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ht="1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ht="1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ht="1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</row>
  </sheetData>
  <dataValidations count="2">
    <dataValidation type="list" allowBlank="1" sqref="B9">
      <formula1>listaTurmas</formula1>
    </dataValidation>
    <dataValidation type="list" allowBlank="1" sqref="A13:A20">
      <formula1>listaCodigosEquipamentos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3" name="Button 2">
              <controlPr defaultSize="0" print="0" autoFill="0" autoPict="0" macro="[0]!Botão2_Clique">
                <anchor moveWithCells="1" sizeWithCells="1">
                  <from>
                    <xdr:col>4</xdr:col>
                    <xdr:colOff>628650</xdr:colOff>
                    <xdr:row>6</xdr:row>
                    <xdr:rowOff>9525</xdr:rowOff>
                  </from>
                  <to>
                    <xdr:col>6</xdr:col>
                    <xdr:colOff>0</xdr:colOff>
                    <xdr:row>6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J200"/>
  <sheetViews>
    <sheetView showGridLines="0" workbookViewId="0">
      <pane ySplit="5" topLeftCell="A6" activePane="bottomLeft" state="frozen"/>
      <selection pane="bottomLeft" activeCell="A7" sqref="A7"/>
    </sheetView>
  </sheetViews>
  <sheetFormatPr defaultColWidth="9.7109375" defaultRowHeight="12.75" x14ac:dyDescent="0.2"/>
  <cols>
    <col min="1" max="1" width="22.7109375" style="1" customWidth="1"/>
    <col min="2" max="2" width="17" style="1" customWidth="1"/>
    <col min="3" max="3" width="29.5703125" style="1" customWidth="1"/>
    <col min="4" max="4" width="15.85546875" style="1" customWidth="1"/>
    <col min="5" max="5" width="17" style="1" customWidth="1"/>
  </cols>
  <sheetData>
    <row r="1" spans="1:10" ht="1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27.95" customHeight="1" x14ac:dyDescent="0.2">
      <c r="A2" s="3" t="s">
        <v>29</v>
      </c>
      <c r="B2" s="2"/>
      <c r="C2" s="2"/>
      <c r="D2" s="2"/>
      <c r="E2" s="2"/>
      <c r="F2" s="2"/>
      <c r="G2" s="2"/>
      <c r="H2" s="2"/>
      <c r="I2" s="2"/>
      <c r="J2" s="2"/>
    </row>
    <row r="3" spans="1:10" ht="15" customHeight="1" x14ac:dyDescent="0.2">
      <c r="A3" s="4" t="s">
        <v>30</v>
      </c>
      <c r="B3" s="2"/>
      <c r="C3" s="2"/>
      <c r="D3" s="2"/>
      <c r="E3" s="2"/>
      <c r="F3" s="2"/>
      <c r="G3" s="2"/>
      <c r="H3" s="2"/>
      <c r="I3" s="2"/>
      <c r="J3" s="2"/>
    </row>
    <row r="4" spans="1:10" ht="1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ht="15" customHeight="1" x14ac:dyDescent="0.2">
      <c r="A5" s="16" t="s">
        <v>31</v>
      </c>
      <c r="B5" s="17" t="s">
        <v>32</v>
      </c>
      <c r="C5" s="17" t="s">
        <v>33</v>
      </c>
      <c r="D5" s="17" t="s">
        <v>7</v>
      </c>
      <c r="E5" s="18" t="s">
        <v>34</v>
      </c>
      <c r="F5" s="2"/>
      <c r="G5" s="2"/>
      <c r="H5" s="2"/>
      <c r="I5" s="2"/>
      <c r="J5" s="2"/>
    </row>
    <row r="6" spans="1:10" ht="15" customHeight="1" x14ac:dyDescent="0.2">
      <c r="A6" s="20"/>
      <c r="B6" s="21"/>
      <c r="C6" s="20"/>
      <c r="D6" s="20"/>
      <c r="E6" s="21"/>
      <c r="F6" s="2"/>
      <c r="G6" s="2"/>
      <c r="H6" s="2"/>
      <c r="I6" s="2"/>
      <c r="J6" s="2"/>
    </row>
    <row r="7" spans="1:10" ht="15" customHeight="1" x14ac:dyDescent="0.2">
      <c r="A7" s="20"/>
      <c r="B7" s="21"/>
      <c r="C7" s="20"/>
      <c r="D7" s="20"/>
      <c r="E7" s="21"/>
      <c r="F7" s="2"/>
      <c r="G7" s="2"/>
      <c r="H7" s="2"/>
      <c r="I7" s="2"/>
      <c r="J7" s="2"/>
    </row>
    <row r="8" spans="1:10" ht="15" customHeight="1" x14ac:dyDescent="0.2">
      <c r="A8" s="20"/>
      <c r="B8" s="21"/>
      <c r="C8" s="20"/>
      <c r="D8" s="20"/>
      <c r="E8" s="21"/>
      <c r="F8" s="2"/>
      <c r="G8" s="2"/>
      <c r="H8" s="2"/>
      <c r="I8" s="2"/>
      <c r="J8" s="2"/>
    </row>
    <row r="9" spans="1:10" ht="15" customHeight="1" x14ac:dyDescent="0.2">
      <c r="A9" s="20"/>
      <c r="B9" s="21"/>
      <c r="C9" s="20"/>
      <c r="D9" s="20"/>
      <c r="E9" s="21"/>
      <c r="F9" s="2"/>
      <c r="G9" s="2"/>
      <c r="H9" s="2"/>
      <c r="I9" s="2"/>
      <c r="J9" s="2"/>
    </row>
    <row r="10" spans="1:10" ht="15" customHeight="1" x14ac:dyDescent="0.2">
      <c r="A10" s="20"/>
      <c r="B10" s="21"/>
      <c r="C10" s="20"/>
      <c r="D10" s="20"/>
      <c r="E10" s="21"/>
      <c r="F10" s="2"/>
      <c r="G10" s="2"/>
      <c r="H10" s="2"/>
      <c r="I10" s="2"/>
      <c r="J10" s="2"/>
    </row>
    <row r="11" spans="1:10" ht="15" customHeight="1" x14ac:dyDescent="0.2">
      <c r="A11" s="20"/>
      <c r="B11" s="21"/>
      <c r="C11" s="20"/>
      <c r="D11" s="20"/>
      <c r="E11" s="21"/>
      <c r="F11" s="2"/>
      <c r="G11" s="2"/>
      <c r="H11" s="2"/>
      <c r="I11" s="2"/>
      <c r="J11" s="2"/>
    </row>
    <row r="12" spans="1:10" ht="15" customHeight="1" x14ac:dyDescent="0.2">
      <c r="A12" s="20"/>
      <c r="B12" s="21"/>
      <c r="C12" s="20"/>
      <c r="D12" s="20"/>
      <c r="E12" s="21"/>
      <c r="F12" s="2"/>
      <c r="G12" s="2"/>
      <c r="H12" s="2"/>
      <c r="I12" s="2"/>
      <c r="J12" s="2"/>
    </row>
    <row r="13" spans="1:10" ht="15" customHeight="1" x14ac:dyDescent="0.2">
      <c r="A13" s="20"/>
      <c r="B13" s="21"/>
      <c r="C13" s="20"/>
      <c r="D13" s="20"/>
      <c r="E13" s="21"/>
      <c r="F13" s="2"/>
      <c r="G13" s="2"/>
      <c r="H13" s="2"/>
      <c r="I13" s="2"/>
      <c r="J13" s="2"/>
    </row>
    <row r="14" spans="1:10" ht="15" customHeight="1" x14ac:dyDescent="0.2">
      <c r="A14" s="20"/>
      <c r="B14" s="21"/>
      <c r="C14" s="20"/>
      <c r="D14" s="20"/>
      <c r="E14" s="21"/>
      <c r="F14" s="2"/>
      <c r="G14" s="2"/>
      <c r="H14" s="2"/>
      <c r="I14" s="2"/>
      <c r="J14" s="2"/>
    </row>
    <row r="15" spans="1:10" ht="15" customHeight="1" x14ac:dyDescent="0.2">
      <c r="A15" s="20"/>
      <c r="B15" s="21"/>
      <c r="C15" s="20"/>
      <c r="D15" s="20"/>
      <c r="E15" s="21"/>
      <c r="F15" s="2"/>
      <c r="G15" s="2"/>
      <c r="H15" s="2"/>
      <c r="I15" s="2"/>
      <c r="J15" s="2"/>
    </row>
    <row r="16" spans="1:10" ht="15" customHeight="1" x14ac:dyDescent="0.2">
      <c r="A16" s="20"/>
      <c r="B16" s="21"/>
      <c r="C16" s="20"/>
      <c r="D16" s="20"/>
      <c r="E16" s="21"/>
      <c r="F16" s="2"/>
      <c r="G16" s="2"/>
      <c r="H16" s="2"/>
      <c r="I16" s="2"/>
      <c r="J16" s="2"/>
    </row>
    <row r="17" spans="1:10" ht="15" customHeight="1" x14ac:dyDescent="0.2">
      <c r="A17" s="20"/>
      <c r="B17" s="21"/>
      <c r="C17" s="20"/>
      <c r="D17" s="20"/>
      <c r="E17" s="21"/>
      <c r="F17" s="2"/>
      <c r="G17" s="2"/>
      <c r="H17" s="2"/>
      <c r="I17" s="2"/>
      <c r="J17" s="2"/>
    </row>
    <row r="18" spans="1:10" ht="15" customHeight="1" x14ac:dyDescent="0.2">
      <c r="A18" s="20"/>
      <c r="B18" s="21"/>
      <c r="C18" s="20"/>
      <c r="D18" s="20"/>
      <c r="E18" s="21"/>
      <c r="F18" s="2"/>
      <c r="G18" s="2"/>
      <c r="H18" s="2"/>
      <c r="I18" s="2"/>
      <c r="J18" s="2"/>
    </row>
    <row r="19" spans="1:10" ht="15" customHeight="1" x14ac:dyDescent="0.2">
      <c r="A19" s="20"/>
      <c r="B19" s="21"/>
      <c r="C19" s="20"/>
      <c r="D19" s="20"/>
      <c r="E19" s="21"/>
      <c r="F19" s="2"/>
      <c r="G19" s="2"/>
      <c r="H19" s="2"/>
      <c r="I19" s="2"/>
      <c r="J19" s="2"/>
    </row>
    <row r="20" spans="1:10" ht="15" customHeight="1" x14ac:dyDescent="0.2">
      <c r="A20" s="20"/>
      <c r="B20" s="21"/>
      <c r="C20" s="20"/>
      <c r="D20" s="20"/>
      <c r="E20" s="21"/>
      <c r="F20" s="2"/>
      <c r="G20" s="2"/>
      <c r="H20" s="2"/>
      <c r="I20" s="2"/>
      <c r="J20" s="2"/>
    </row>
    <row r="21" spans="1:10" ht="15" customHeight="1" x14ac:dyDescent="0.2">
      <c r="A21" s="20"/>
      <c r="B21" s="21"/>
      <c r="C21" s="20"/>
      <c r="D21" s="20"/>
      <c r="E21" s="21"/>
      <c r="F21" s="2"/>
      <c r="G21" s="2"/>
      <c r="H21" s="2"/>
      <c r="I21" s="2"/>
      <c r="J21" s="2"/>
    </row>
    <row r="22" spans="1:10" ht="15" customHeight="1" x14ac:dyDescent="0.2">
      <c r="A22" s="20"/>
      <c r="B22" s="21"/>
      <c r="C22" s="20"/>
      <c r="D22" s="20"/>
      <c r="E22" s="21"/>
      <c r="F22" s="2"/>
      <c r="G22" s="2"/>
      <c r="H22" s="2"/>
      <c r="I22" s="2"/>
      <c r="J22" s="2"/>
    </row>
    <row r="23" spans="1:10" ht="15" customHeight="1" x14ac:dyDescent="0.2">
      <c r="A23" s="20"/>
      <c r="B23" s="21"/>
      <c r="C23" s="20"/>
      <c r="D23" s="20"/>
      <c r="E23" s="21"/>
      <c r="F23" s="2"/>
      <c r="G23" s="2"/>
      <c r="H23" s="2"/>
      <c r="I23" s="2"/>
      <c r="J23" s="2"/>
    </row>
    <row r="24" spans="1:10" ht="15" customHeight="1" x14ac:dyDescent="0.2">
      <c r="A24" s="20"/>
      <c r="B24" s="21"/>
      <c r="C24" s="20"/>
      <c r="D24" s="20"/>
      <c r="E24" s="21"/>
      <c r="F24" s="2"/>
      <c r="G24" s="2"/>
      <c r="H24" s="2"/>
      <c r="I24" s="2"/>
      <c r="J24" s="2"/>
    </row>
    <row r="25" spans="1:10" ht="15" customHeight="1" x14ac:dyDescent="0.2">
      <c r="A25" s="20"/>
      <c r="B25" s="21"/>
      <c r="C25" s="20"/>
      <c r="D25" s="20"/>
      <c r="E25" s="21"/>
      <c r="F25" s="2"/>
      <c r="G25" s="2"/>
      <c r="H25" s="2"/>
      <c r="I25" s="2"/>
      <c r="J25" s="2"/>
    </row>
    <row r="26" spans="1:10" ht="15" customHeight="1" x14ac:dyDescent="0.2">
      <c r="A26" s="20"/>
      <c r="B26" s="21"/>
      <c r="C26" s="20"/>
      <c r="D26" s="20"/>
      <c r="E26" s="21"/>
      <c r="F26" s="2"/>
      <c r="G26" s="2"/>
      <c r="H26" s="2"/>
      <c r="I26" s="2"/>
      <c r="J26" s="2"/>
    </row>
    <row r="27" spans="1:10" ht="15" customHeight="1" x14ac:dyDescent="0.2">
      <c r="A27" s="20"/>
      <c r="B27" s="21"/>
      <c r="C27" s="20"/>
      <c r="D27" s="20"/>
      <c r="E27" s="21"/>
      <c r="F27" s="2"/>
      <c r="G27" s="2"/>
      <c r="H27" s="2"/>
      <c r="I27" s="2"/>
      <c r="J27" s="2"/>
    </row>
    <row r="28" spans="1:10" ht="15" customHeight="1" x14ac:dyDescent="0.2">
      <c r="A28" s="20"/>
      <c r="B28" s="21"/>
      <c r="C28" s="20"/>
      <c r="D28" s="20"/>
      <c r="E28" s="21"/>
      <c r="F28" s="2"/>
      <c r="G28" s="2"/>
      <c r="H28" s="2"/>
      <c r="I28" s="2"/>
      <c r="J28" s="2"/>
    </row>
    <row r="29" spans="1:10" ht="15" customHeight="1" x14ac:dyDescent="0.2">
      <c r="A29" s="20"/>
      <c r="B29" s="21"/>
      <c r="C29" s="20"/>
      <c r="D29" s="20"/>
      <c r="E29" s="21"/>
      <c r="F29" s="2"/>
      <c r="G29" s="2"/>
      <c r="H29" s="2"/>
      <c r="I29" s="2"/>
      <c r="J29" s="2"/>
    </row>
    <row r="30" spans="1:10" ht="15" customHeight="1" x14ac:dyDescent="0.2">
      <c r="A30" s="20"/>
      <c r="B30" s="21"/>
      <c r="C30" s="20"/>
      <c r="D30" s="20"/>
      <c r="E30" s="21"/>
      <c r="F30" s="2"/>
      <c r="G30" s="2"/>
      <c r="H30" s="2"/>
      <c r="I30" s="2"/>
      <c r="J30" s="2"/>
    </row>
    <row r="31" spans="1:10" ht="15" customHeight="1" x14ac:dyDescent="0.2">
      <c r="A31" s="20"/>
      <c r="B31" s="21"/>
      <c r="C31" s="20"/>
      <c r="D31" s="20"/>
      <c r="E31" s="21"/>
      <c r="F31" s="2"/>
      <c r="G31" s="2"/>
      <c r="H31" s="2"/>
      <c r="I31" s="2"/>
      <c r="J31" s="2"/>
    </row>
    <row r="32" spans="1:10" ht="15" customHeight="1" x14ac:dyDescent="0.2">
      <c r="A32" s="20"/>
      <c r="B32" s="21"/>
      <c r="C32" s="20"/>
      <c r="D32" s="20"/>
      <c r="E32" s="21"/>
      <c r="F32" s="2"/>
      <c r="G32" s="2"/>
      <c r="H32" s="2"/>
      <c r="I32" s="2"/>
      <c r="J32" s="2"/>
    </row>
    <row r="33" spans="1:10" ht="15" customHeight="1" x14ac:dyDescent="0.2">
      <c r="A33" s="20"/>
      <c r="B33" s="21"/>
      <c r="C33" s="20"/>
      <c r="D33" s="20"/>
      <c r="E33" s="21"/>
      <c r="F33" s="2"/>
      <c r="G33" s="2"/>
      <c r="H33" s="2"/>
      <c r="I33" s="2"/>
      <c r="J33" s="2"/>
    </row>
    <row r="34" spans="1:10" ht="15" customHeight="1" x14ac:dyDescent="0.2">
      <c r="A34" s="20"/>
      <c r="B34" s="21"/>
      <c r="C34" s="20"/>
      <c r="D34" s="20"/>
      <c r="E34" s="21"/>
      <c r="F34" s="2"/>
      <c r="G34" s="2"/>
      <c r="H34" s="2"/>
      <c r="I34" s="2"/>
      <c r="J34" s="2"/>
    </row>
    <row r="35" spans="1:10" ht="15" customHeight="1" x14ac:dyDescent="0.2">
      <c r="A35" s="20"/>
      <c r="B35" s="21"/>
      <c r="C35" s="20"/>
      <c r="D35" s="20"/>
      <c r="E35" s="21"/>
      <c r="F35" s="2"/>
      <c r="G35" s="2"/>
      <c r="H35" s="2"/>
      <c r="I35" s="2"/>
      <c r="J35" s="2"/>
    </row>
    <row r="36" spans="1:10" ht="1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ht="1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ht="1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ht="1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ht="1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ht="1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ht="1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ht="1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ht="1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ht="1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ht="1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ht="1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ht="1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ht="1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1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1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ht="1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ht="1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ht="1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ht="1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ht="1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ht="1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ht="1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ht="1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ht="1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ht="1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ht="1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ht="1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ht="1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ht="1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ht="1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ht="1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ht="1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ht="1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ht="1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ht="1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ht="1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ht="1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ht="1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ht="1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ht="1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ht="1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ht="1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ht="1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ht="1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ht="1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ht="1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ht="1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ht="1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ht="1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ht="1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ht="1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ht="1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ht="1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ht="1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ht="1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ht="1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ht="1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ht="1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ht="1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ht="1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ht="1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ht="1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ht="1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ht="1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ht="1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ht="1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ht="1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ht="1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ht="1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ht="1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ht="1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ht="1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ht="1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ht="1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ht="1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ht="1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ht="1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ht="1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ht="1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ht="1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ht="1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ht="1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ht="1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ht="1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ht="1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ht="1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ht="1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ht="1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ht="1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ht="1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ht="1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ht="1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ht="1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ht="1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ht="1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ht="1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ht="1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ht="1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ht="1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ht="1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ht="1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ht="1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ht="1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ht="1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ht="1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ht="1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ht="1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ht="1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ht="1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ht="1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ht="1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ht="1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ht="1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ht="1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ht="1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ht="1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ht="1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ht="1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ht="1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ht="1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ht="1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ht="1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ht="1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ht="1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ht="1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ht="1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ht="1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ht="1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ht="1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ht="1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ht="1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ht="1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ht="1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ht="1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ht="1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ht="1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1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ht="1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ht="1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ht="1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ht="1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ht="1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ht="1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ht="1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ht="1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ht="1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ht="1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ht="1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ht="1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ht="1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ht="1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ht="1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ht="1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ht="1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ht="1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ht="1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ht="1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ht="1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ht="1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ht="1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ht="1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ht="1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ht="1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/>
  <dimension ref="A1:J200"/>
  <sheetViews>
    <sheetView showGridLines="0" workbookViewId="0">
      <pane ySplit="5" topLeftCell="A6" activePane="bottomLeft" state="frozen"/>
      <selection pane="bottomLeft"/>
    </sheetView>
  </sheetViews>
  <sheetFormatPr defaultColWidth="9.7109375" defaultRowHeight="12.75" x14ac:dyDescent="0.2"/>
  <cols>
    <col min="1" max="1" width="22.7109375" style="1" customWidth="1"/>
    <col min="2" max="2" width="25" style="1" customWidth="1"/>
    <col min="3" max="3" width="27.28515625" style="1" customWidth="1"/>
    <col min="4" max="4" width="15.85546875" style="1" customWidth="1"/>
    <col min="5" max="5" width="34" style="1" customWidth="1"/>
  </cols>
  <sheetData>
    <row r="1" spans="1:10" ht="1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27.95" customHeight="1" x14ac:dyDescent="0.2">
      <c r="A2" s="3" t="s">
        <v>35</v>
      </c>
      <c r="B2" s="2"/>
      <c r="C2" s="2"/>
      <c r="D2" s="2"/>
      <c r="E2" s="2"/>
      <c r="F2" s="2"/>
      <c r="G2" s="2"/>
      <c r="H2" s="2"/>
      <c r="I2" s="2"/>
      <c r="J2" s="2"/>
    </row>
    <row r="3" spans="1:10" ht="15" customHeight="1" x14ac:dyDescent="0.2">
      <c r="A3" s="4" t="s">
        <v>36</v>
      </c>
      <c r="B3" s="2"/>
      <c r="C3" s="2"/>
      <c r="D3" s="2"/>
      <c r="E3" s="2"/>
      <c r="F3" s="2"/>
      <c r="G3" s="2"/>
      <c r="H3" s="2"/>
      <c r="I3" s="2"/>
      <c r="J3" s="2"/>
    </row>
    <row r="4" spans="1:10" ht="1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ht="15" customHeight="1" x14ac:dyDescent="0.2">
      <c r="A5" s="16" t="s">
        <v>31</v>
      </c>
      <c r="B5" s="17" t="s">
        <v>37</v>
      </c>
      <c r="C5" s="17" t="s">
        <v>9</v>
      </c>
      <c r="D5" s="17" t="s">
        <v>10</v>
      </c>
      <c r="E5" s="18" t="s">
        <v>38</v>
      </c>
      <c r="F5" s="2"/>
      <c r="G5" s="2"/>
      <c r="H5" s="2"/>
      <c r="I5" s="2"/>
      <c r="J5" s="2"/>
    </row>
    <row r="6" spans="1:10" ht="15" customHeight="1" x14ac:dyDescent="0.2">
      <c r="A6" s="20"/>
      <c r="B6" s="20"/>
      <c r="C6" s="20"/>
      <c r="D6" s="20"/>
      <c r="E6" s="20"/>
      <c r="F6" s="2"/>
      <c r="G6" s="2"/>
      <c r="H6" s="2"/>
      <c r="I6" s="2"/>
      <c r="J6" s="2"/>
    </row>
    <row r="7" spans="1:10" ht="15" customHeight="1" x14ac:dyDescent="0.2">
      <c r="A7" s="20"/>
      <c r="B7" s="20"/>
      <c r="C7" s="20"/>
      <c r="D7" s="20"/>
      <c r="E7" s="20"/>
      <c r="F7" s="2"/>
      <c r="G7" s="2"/>
      <c r="H7" s="2"/>
      <c r="I7" s="2"/>
      <c r="J7" s="2"/>
    </row>
    <row r="8" spans="1:10" ht="15" customHeight="1" x14ac:dyDescent="0.2">
      <c r="A8" s="20"/>
      <c r="B8" s="20"/>
      <c r="C8" s="20"/>
      <c r="D8" s="20"/>
      <c r="E8" s="20"/>
      <c r="F8" s="2"/>
      <c r="G8" s="2"/>
      <c r="H8" s="2"/>
      <c r="I8" s="2"/>
      <c r="J8" s="2"/>
    </row>
    <row r="9" spans="1:10" ht="15" customHeight="1" x14ac:dyDescent="0.2">
      <c r="A9" s="20"/>
      <c r="B9" s="20"/>
      <c r="C9" s="20"/>
      <c r="D9" s="20"/>
      <c r="E9" s="20"/>
      <c r="F9" s="2"/>
      <c r="G9" s="2"/>
      <c r="H9" s="2"/>
      <c r="I9" s="2"/>
      <c r="J9" s="2"/>
    </row>
    <row r="10" spans="1:10" ht="15" customHeight="1" x14ac:dyDescent="0.2">
      <c r="A10" s="20"/>
      <c r="B10" s="20"/>
      <c r="C10" s="20"/>
      <c r="D10" s="20"/>
      <c r="E10" s="20"/>
      <c r="F10" s="2"/>
      <c r="G10" s="2"/>
      <c r="H10" s="2"/>
      <c r="I10" s="2"/>
      <c r="J10" s="2"/>
    </row>
    <row r="11" spans="1:10" ht="15" customHeight="1" x14ac:dyDescent="0.2">
      <c r="A11" s="20"/>
      <c r="B11" s="20"/>
      <c r="C11" s="20"/>
      <c r="D11" s="20"/>
      <c r="E11" s="20"/>
      <c r="F11" s="2"/>
      <c r="G11" s="2"/>
      <c r="H11" s="2"/>
      <c r="I11" s="2"/>
      <c r="J11" s="2"/>
    </row>
    <row r="12" spans="1:10" ht="15" customHeight="1" x14ac:dyDescent="0.2">
      <c r="A12" s="20"/>
      <c r="B12" s="20"/>
      <c r="C12" s="20"/>
      <c r="D12" s="20"/>
      <c r="E12" s="20"/>
      <c r="F12" s="2"/>
      <c r="G12" s="2"/>
      <c r="H12" s="2"/>
      <c r="I12" s="2"/>
      <c r="J12" s="2"/>
    </row>
    <row r="13" spans="1:10" ht="15" customHeight="1" x14ac:dyDescent="0.2">
      <c r="A13" s="20"/>
      <c r="B13" s="20"/>
      <c r="C13" s="20"/>
      <c r="D13" s="20"/>
      <c r="E13" s="20"/>
      <c r="F13" s="2"/>
      <c r="G13" s="2"/>
      <c r="H13" s="2"/>
      <c r="I13" s="2"/>
      <c r="J13" s="2"/>
    </row>
    <row r="14" spans="1:10" ht="15" customHeight="1" x14ac:dyDescent="0.2">
      <c r="A14" s="20"/>
      <c r="B14" s="20"/>
      <c r="C14" s="20"/>
      <c r="D14" s="20"/>
      <c r="E14" s="20"/>
      <c r="F14" s="2"/>
      <c r="G14" s="2"/>
      <c r="H14" s="2"/>
      <c r="I14" s="2"/>
      <c r="J14" s="2"/>
    </row>
    <row r="15" spans="1:10" ht="15" customHeight="1" x14ac:dyDescent="0.2">
      <c r="A15" s="20"/>
      <c r="B15" s="20"/>
      <c r="C15" s="20"/>
      <c r="D15" s="20"/>
      <c r="E15" s="20"/>
      <c r="F15" s="2"/>
      <c r="G15" s="2"/>
      <c r="H15" s="2"/>
      <c r="I15" s="2"/>
      <c r="J15" s="2"/>
    </row>
    <row r="16" spans="1:10" ht="15" customHeight="1" x14ac:dyDescent="0.2">
      <c r="A16" s="20"/>
      <c r="B16" s="20"/>
      <c r="C16" s="20"/>
      <c r="D16" s="20"/>
      <c r="E16" s="20"/>
      <c r="F16" s="2"/>
      <c r="G16" s="2"/>
      <c r="H16" s="2"/>
      <c r="I16" s="2"/>
      <c r="J16" s="2"/>
    </row>
    <row r="17" spans="1:10" ht="15" customHeight="1" x14ac:dyDescent="0.2">
      <c r="A17" s="20"/>
      <c r="B17" s="20"/>
      <c r="C17" s="20"/>
      <c r="D17" s="20"/>
      <c r="E17" s="20"/>
      <c r="F17" s="2"/>
      <c r="G17" s="2"/>
      <c r="H17" s="2"/>
      <c r="I17" s="2"/>
      <c r="J17" s="2"/>
    </row>
    <row r="18" spans="1:10" ht="15" customHeight="1" x14ac:dyDescent="0.2">
      <c r="A18" s="20"/>
      <c r="B18" s="20"/>
      <c r="C18" s="20"/>
      <c r="D18" s="20"/>
      <c r="E18" s="20"/>
      <c r="F18" s="2"/>
      <c r="G18" s="2"/>
      <c r="H18" s="2"/>
      <c r="I18" s="2"/>
      <c r="J18" s="2"/>
    </row>
    <row r="19" spans="1:10" ht="15" customHeight="1" x14ac:dyDescent="0.2">
      <c r="A19" s="20"/>
      <c r="B19" s="20"/>
      <c r="C19" s="20"/>
      <c r="D19" s="20"/>
      <c r="E19" s="20"/>
      <c r="F19" s="2"/>
      <c r="G19" s="2"/>
      <c r="H19" s="2"/>
      <c r="I19" s="2"/>
      <c r="J19" s="2"/>
    </row>
    <row r="20" spans="1:10" ht="15" customHeight="1" x14ac:dyDescent="0.2">
      <c r="A20" s="20"/>
      <c r="B20" s="20"/>
      <c r="C20" s="20"/>
      <c r="D20" s="20"/>
      <c r="E20" s="20"/>
      <c r="F20" s="2"/>
      <c r="G20" s="2"/>
      <c r="H20" s="2"/>
      <c r="I20" s="2"/>
      <c r="J20" s="2"/>
    </row>
    <row r="21" spans="1:10" ht="15" customHeight="1" x14ac:dyDescent="0.2">
      <c r="A21" s="20"/>
      <c r="B21" s="20"/>
      <c r="C21" s="20"/>
      <c r="D21" s="20"/>
      <c r="E21" s="20"/>
      <c r="F21" s="2"/>
      <c r="G21" s="2"/>
      <c r="H21" s="2"/>
      <c r="I21" s="2"/>
      <c r="J21" s="2"/>
    </row>
    <row r="22" spans="1:10" ht="15" customHeight="1" x14ac:dyDescent="0.2">
      <c r="A22" s="20"/>
      <c r="B22" s="20"/>
      <c r="C22" s="20"/>
      <c r="D22" s="20"/>
      <c r="E22" s="20"/>
      <c r="F22" s="2"/>
      <c r="G22" s="2"/>
      <c r="H22" s="2"/>
      <c r="I22" s="2"/>
      <c r="J22" s="2"/>
    </row>
    <row r="23" spans="1:10" ht="15" customHeight="1" x14ac:dyDescent="0.2">
      <c r="A23" s="20"/>
      <c r="B23" s="20"/>
      <c r="C23" s="20"/>
      <c r="D23" s="20"/>
      <c r="E23" s="20"/>
      <c r="F23" s="2"/>
      <c r="G23" s="2"/>
      <c r="H23" s="2"/>
      <c r="I23" s="2"/>
      <c r="J23" s="2"/>
    </row>
    <row r="24" spans="1:10" ht="15" customHeight="1" x14ac:dyDescent="0.2">
      <c r="A24" s="20"/>
      <c r="B24" s="20"/>
      <c r="C24" s="20"/>
      <c r="D24" s="20"/>
      <c r="E24" s="20"/>
      <c r="F24" s="2"/>
      <c r="G24" s="2"/>
      <c r="H24" s="2"/>
      <c r="I24" s="2"/>
      <c r="J24" s="2"/>
    </row>
    <row r="25" spans="1:10" ht="15" customHeight="1" x14ac:dyDescent="0.2">
      <c r="A25" s="20"/>
      <c r="B25" s="20"/>
      <c r="C25" s="20"/>
      <c r="D25" s="20"/>
      <c r="E25" s="20"/>
      <c r="F25" s="2"/>
      <c r="G25" s="2"/>
      <c r="H25" s="2"/>
      <c r="I25" s="2"/>
      <c r="J25" s="2"/>
    </row>
    <row r="26" spans="1:10" ht="15" customHeight="1" x14ac:dyDescent="0.2">
      <c r="A26" s="20"/>
      <c r="B26" s="20"/>
      <c r="C26" s="20"/>
      <c r="D26" s="20"/>
      <c r="E26" s="20"/>
      <c r="F26" s="2"/>
      <c r="G26" s="2"/>
      <c r="H26" s="2"/>
      <c r="I26" s="2"/>
      <c r="J26" s="2"/>
    </row>
    <row r="27" spans="1:10" ht="15" customHeight="1" x14ac:dyDescent="0.2">
      <c r="A27" s="20"/>
      <c r="B27" s="20"/>
      <c r="C27" s="20"/>
      <c r="D27" s="20"/>
      <c r="E27" s="20"/>
      <c r="F27" s="2"/>
      <c r="G27" s="2"/>
      <c r="H27" s="2"/>
      <c r="I27" s="2"/>
      <c r="J27" s="2"/>
    </row>
    <row r="28" spans="1:10" ht="15" customHeight="1" x14ac:dyDescent="0.2">
      <c r="A28" s="20"/>
      <c r="B28" s="20"/>
      <c r="C28" s="20"/>
      <c r="D28" s="20"/>
      <c r="E28" s="20"/>
      <c r="F28" s="2"/>
      <c r="G28" s="2"/>
      <c r="H28" s="2"/>
      <c r="I28" s="2"/>
      <c r="J28" s="2"/>
    </row>
    <row r="29" spans="1:10" ht="15" customHeight="1" x14ac:dyDescent="0.2">
      <c r="A29" s="20"/>
      <c r="B29" s="20"/>
      <c r="C29" s="20"/>
      <c r="D29" s="20"/>
      <c r="E29" s="20"/>
      <c r="F29" s="2"/>
      <c r="G29" s="2"/>
      <c r="H29" s="2"/>
      <c r="I29" s="2"/>
      <c r="J29" s="2"/>
    </row>
    <row r="30" spans="1:10" ht="15" customHeight="1" x14ac:dyDescent="0.2">
      <c r="A30" s="20"/>
      <c r="B30" s="20"/>
      <c r="C30" s="20"/>
      <c r="D30" s="20"/>
      <c r="E30" s="20"/>
      <c r="F30" s="2"/>
      <c r="G30" s="2"/>
      <c r="H30" s="2"/>
      <c r="I30" s="2"/>
      <c r="J30" s="2"/>
    </row>
    <row r="31" spans="1:10" ht="15" customHeight="1" x14ac:dyDescent="0.2">
      <c r="A31" s="20"/>
      <c r="B31" s="20"/>
      <c r="C31" s="20"/>
      <c r="D31" s="20"/>
      <c r="E31" s="20"/>
      <c r="F31" s="2"/>
      <c r="G31" s="2"/>
      <c r="H31" s="2"/>
      <c r="I31" s="2"/>
      <c r="J31" s="2"/>
    </row>
    <row r="32" spans="1:10" ht="15" customHeight="1" x14ac:dyDescent="0.2">
      <c r="A32" s="20"/>
      <c r="B32" s="20"/>
      <c r="C32" s="20"/>
      <c r="D32" s="20"/>
      <c r="E32" s="20"/>
      <c r="F32" s="2"/>
      <c r="G32" s="2"/>
      <c r="H32" s="2"/>
      <c r="I32" s="2"/>
      <c r="J32" s="2"/>
    </row>
    <row r="33" spans="1:10" ht="15" customHeight="1" x14ac:dyDescent="0.2">
      <c r="A33" s="20"/>
      <c r="B33" s="20"/>
      <c r="C33" s="20"/>
      <c r="D33" s="20"/>
      <c r="E33" s="20"/>
      <c r="F33" s="2"/>
      <c r="G33" s="2"/>
      <c r="H33" s="2"/>
      <c r="I33" s="2"/>
      <c r="J33" s="2"/>
    </row>
    <row r="34" spans="1:10" ht="15" customHeight="1" x14ac:dyDescent="0.2">
      <c r="A34" s="20"/>
      <c r="B34" s="20"/>
      <c r="C34" s="20"/>
      <c r="D34" s="20"/>
      <c r="E34" s="20"/>
      <c r="F34" s="2"/>
      <c r="G34" s="2"/>
      <c r="H34" s="2"/>
      <c r="I34" s="2"/>
      <c r="J34" s="2"/>
    </row>
    <row r="35" spans="1:10" ht="15" customHeight="1" x14ac:dyDescent="0.2">
      <c r="A35" s="20"/>
      <c r="B35" s="20"/>
      <c r="C35" s="20"/>
      <c r="D35" s="20"/>
      <c r="E35" s="20"/>
      <c r="F35" s="2"/>
      <c r="G35" s="2"/>
      <c r="H35" s="2"/>
      <c r="I35" s="2"/>
      <c r="J35" s="2"/>
    </row>
    <row r="36" spans="1:10" ht="15" customHeight="1" x14ac:dyDescent="0.2">
      <c r="A36" s="20"/>
      <c r="B36" s="20"/>
      <c r="C36" s="20"/>
      <c r="D36" s="20"/>
      <c r="E36" s="20"/>
      <c r="F36" s="2"/>
      <c r="G36" s="2"/>
      <c r="H36" s="2"/>
      <c r="I36" s="2"/>
      <c r="J36" s="2"/>
    </row>
    <row r="37" spans="1:10" ht="15" customHeight="1" x14ac:dyDescent="0.2">
      <c r="A37" s="20"/>
      <c r="B37" s="20"/>
      <c r="C37" s="20"/>
      <c r="D37" s="20"/>
      <c r="E37" s="20"/>
      <c r="F37" s="2"/>
      <c r="G37" s="2"/>
      <c r="H37" s="2"/>
      <c r="I37" s="2"/>
      <c r="J37" s="2"/>
    </row>
    <row r="38" spans="1:10" ht="15" customHeight="1" x14ac:dyDescent="0.2">
      <c r="A38" s="20"/>
      <c r="B38" s="20"/>
      <c r="C38" s="20"/>
      <c r="D38" s="20"/>
      <c r="E38" s="20"/>
      <c r="F38" s="2"/>
      <c r="G38" s="2"/>
      <c r="H38" s="2"/>
      <c r="I38" s="2"/>
      <c r="J38" s="2"/>
    </row>
    <row r="39" spans="1:10" ht="15" customHeight="1" x14ac:dyDescent="0.2">
      <c r="A39" s="20"/>
      <c r="B39" s="20"/>
      <c r="C39" s="20"/>
      <c r="D39" s="20"/>
      <c r="E39" s="20"/>
      <c r="F39" s="2"/>
      <c r="G39" s="2"/>
      <c r="H39" s="2"/>
      <c r="I39" s="2"/>
      <c r="J39" s="2"/>
    </row>
    <row r="40" spans="1:10" ht="15" customHeight="1" x14ac:dyDescent="0.2">
      <c r="A40" s="20"/>
      <c r="B40" s="20"/>
      <c r="C40" s="20"/>
      <c r="D40" s="20"/>
      <c r="E40" s="20"/>
      <c r="F40" s="2"/>
      <c r="G40" s="2"/>
      <c r="H40" s="2"/>
      <c r="I40" s="2"/>
      <c r="J40" s="2"/>
    </row>
    <row r="41" spans="1:10" ht="15" customHeight="1" x14ac:dyDescent="0.2">
      <c r="A41" s="20"/>
      <c r="B41" s="20"/>
      <c r="C41" s="20"/>
      <c r="D41" s="20"/>
      <c r="E41" s="20"/>
      <c r="F41" s="2"/>
      <c r="G41" s="2"/>
      <c r="H41" s="2"/>
      <c r="I41" s="2"/>
      <c r="J41" s="2"/>
    </row>
    <row r="42" spans="1:10" ht="15" customHeight="1" x14ac:dyDescent="0.2">
      <c r="A42" s="20"/>
      <c r="B42" s="20"/>
      <c r="C42" s="20"/>
      <c r="D42" s="20"/>
      <c r="E42" s="20"/>
      <c r="F42" s="2"/>
      <c r="G42" s="2"/>
      <c r="H42" s="2"/>
      <c r="I42" s="2"/>
      <c r="J42" s="2"/>
    </row>
    <row r="43" spans="1:10" ht="15" customHeight="1" x14ac:dyDescent="0.2">
      <c r="A43" s="20"/>
      <c r="B43" s="20"/>
      <c r="C43" s="20"/>
      <c r="D43" s="20"/>
      <c r="E43" s="20"/>
      <c r="F43" s="2"/>
      <c r="G43" s="2"/>
      <c r="H43" s="2"/>
      <c r="I43" s="2"/>
      <c r="J43" s="2"/>
    </row>
    <row r="44" spans="1:10" ht="15" customHeight="1" x14ac:dyDescent="0.2">
      <c r="A44" s="20"/>
      <c r="B44" s="20"/>
      <c r="C44" s="20"/>
      <c r="D44" s="20"/>
      <c r="E44" s="20"/>
      <c r="F44" s="2"/>
      <c r="G44" s="2"/>
      <c r="H44" s="2"/>
      <c r="I44" s="2"/>
      <c r="J44" s="2"/>
    </row>
    <row r="45" spans="1:10" ht="15" customHeight="1" x14ac:dyDescent="0.2">
      <c r="A45" s="20"/>
      <c r="B45" s="20"/>
      <c r="C45" s="20"/>
      <c r="D45" s="20"/>
      <c r="E45" s="20"/>
      <c r="F45" s="2"/>
      <c r="G45" s="2"/>
      <c r="H45" s="2"/>
      <c r="I45" s="2"/>
      <c r="J45" s="2"/>
    </row>
    <row r="46" spans="1:10" ht="15" customHeight="1" x14ac:dyDescent="0.2">
      <c r="A46" s="20"/>
      <c r="B46" s="20"/>
      <c r="C46" s="20"/>
      <c r="D46" s="20"/>
      <c r="E46" s="20"/>
      <c r="F46" s="2"/>
      <c r="G46" s="2"/>
      <c r="H46" s="2"/>
      <c r="I46" s="2"/>
      <c r="J46" s="2"/>
    </row>
    <row r="47" spans="1:10" ht="15" customHeight="1" x14ac:dyDescent="0.2">
      <c r="A47" s="20"/>
      <c r="B47" s="20"/>
      <c r="C47" s="20"/>
      <c r="D47" s="20"/>
      <c r="E47" s="20"/>
      <c r="F47" s="2"/>
      <c r="G47" s="2"/>
      <c r="H47" s="2"/>
      <c r="I47" s="2"/>
      <c r="J47" s="2"/>
    </row>
    <row r="48" spans="1:10" ht="15" customHeight="1" x14ac:dyDescent="0.2">
      <c r="A48" s="20"/>
      <c r="B48" s="20"/>
      <c r="C48" s="20"/>
      <c r="D48" s="20"/>
      <c r="E48" s="20"/>
      <c r="F48" s="2"/>
      <c r="G48" s="2"/>
      <c r="H48" s="2"/>
      <c r="I48" s="2"/>
      <c r="J48" s="2"/>
    </row>
    <row r="49" spans="1:10" ht="15" customHeight="1" x14ac:dyDescent="0.2">
      <c r="A49" s="20"/>
      <c r="B49" s="20"/>
      <c r="C49" s="20"/>
      <c r="D49" s="20"/>
      <c r="E49" s="20"/>
      <c r="F49" s="2"/>
      <c r="G49" s="2"/>
      <c r="H49" s="2"/>
      <c r="I49" s="2"/>
      <c r="J49" s="2"/>
    </row>
    <row r="50" spans="1:10" ht="15" customHeight="1" x14ac:dyDescent="0.2">
      <c r="A50" s="20"/>
      <c r="B50" s="20"/>
      <c r="C50" s="20"/>
      <c r="D50" s="20"/>
      <c r="E50" s="20"/>
      <c r="F50" s="2"/>
      <c r="G50" s="2"/>
      <c r="H50" s="2"/>
      <c r="I50" s="2"/>
      <c r="J50" s="2"/>
    </row>
    <row r="51" spans="1:10" ht="1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ht="1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ht="1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ht="1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ht="1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ht="1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ht="1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ht="1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ht="1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ht="1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ht="1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ht="1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ht="1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ht="1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ht="1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ht="1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ht="1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ht="1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ht="1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ht="1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ht="1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ht="1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ht="1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ht="1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ht="1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ht="1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ht="1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ht="1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ht="1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ht="1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ht="1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ht="1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ht="1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ht="1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ht="1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ht="1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ht="1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ht="1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ht="1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ht="1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ht="1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ht="1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ht="1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ht="1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ht="1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ht="1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ht="1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ht="1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ht="1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ht="1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ht="1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ht="1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ht="1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ht="1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ht="1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ht="1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ht="1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ht="1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ht="1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ht="1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ht="1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ht="1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ht="1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ht="1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ht="1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ht="1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ht="1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ht="1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ht="1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ht="1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ht="1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ht="1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ht="1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ht="1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ht="1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ht="1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ht="1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ht="1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ht="1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ht="1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ht="1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ht="1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ht="1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ht="1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ht="1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ht="1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ht="1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ht="1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ht="1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ht="1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ht="1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ht="1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ht="1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ht="1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ht="1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ht="1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ht="1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ht="1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ht="1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ht="1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ht="1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ht="1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ht="1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ht="1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ht="1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ht="1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ht="1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ht="1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ht="1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ht="1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ht="1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ht="1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ht="1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ht="1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ht="1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ht="1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ht="1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ht="1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ht="1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ht="1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ht="1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ht="1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1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ht="1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ht="1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ht="1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ht="1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ht="1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ht="1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ht="1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ht="1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ht="1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ht="1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ht="1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ht="1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ht="1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ht="1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ht="1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ht="1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ht="1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ht="1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ht="1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ht="1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ht="1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ht="1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ht="1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ht="1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ht="1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ht="1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/>
  <dimension ref="A1:J200"/>
  <sheetViews>
    <sheetView showGridLines="0" workbookViewId="0">
      <selection activeCell="A6" sqref="A6"/>
    </sheetView>
  </sheetViews>
  <sheetFormatPr defaultColWidth="9.7109375" defaultRowHeight="12.75" x14ac:dyDescent="0.2"/>
  <cols>
    <col min="1" max="1" width="25" style="1" customWidth="1"/>
    <col min="2" max="2" width="29.5703125" style="1" customWidth="1"/>
    <col min="4" max="4" width="18.140625" style="1" customWidth="1"/>
  </cols>
  <sheetData>
    <row r="1" spans="1:10" ht="1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27.95" customHeight="1" x14ac:dyDescent="0.2">
      <c r="A2" s="3" t="s">
        <v>39</v>
      </c>
      <c r="B2" s="2"/>
      <c r="C2" s="2"/>
      <c r="D2" s="2"/>
      <c r="E2" s="2"/>
      <c r="F2" s="2"/>
      <c r="G2" s="2"/>
      <c r="H2" s="2"/>
      <c r="I2" s="2"/>
      <c r="J2" s="2"/>
    </row>
    <row r="3" spans="1:10" ht="15" customHeight="1" x14ac:dyDescent="0.2">
      <c r="A3" s="4" t="s">
        <v>40</v>
      </c>
      <c r="B3" s="2"/>
      <c r="C3" s="2"/>
      <c r="D3" s="2"/>
      <c r="E3" s="2"/>
      <c r="F3" s="2"/>
      <c r="G3" s="2"/>
      <c r="H3" s="2"/>
      <c r="I3" s="2"/>
      <c r="J3" s="2"/>
    </row>
    <row r="4" spans="1:10" ht="1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ht="15" customHeight="1" x14ac:dyDescent="0.2">
      <c r="A5" s="16" t="s">
        <v>37</v>
      </c>
      <c r="B5" s="18" t="s">
        <v>9</v>
      </c>
      <c r="C5" s="2"/>
      <c r="D5" s="22" t="s">
        <v>7</v>
      </c>
      <c r="E5" s="2"/>
      <c r="F5" s="2"/>
      <c r="G5" s="2"/>
      <c r="H5" s="2"/>
      <c r="I5" s="2"/>
      <c r="J5" s="2"/>
    </row>
    <row r="6" spans="1:10" ht="15" customHeight="1" x14ac:dyDescent="0.2">
      <c r="A6" s="20" t="s">
        <v>27</v>
      </c>
      <c r="B6" s="20" t="s">
        <v>43</v>
      </c>
      <c r="C6" s="2"/>
      <c r="D6" s="20" t="s">
        <v>42</v>
      </c>
      <c r="E6" s="2"/>
      <c r="F6" s="2"/>
      <c r="G6" s="2"/>
      <c r="H6" s="2"/>
      <c r="I6" s="2"/>
      <c r="J6" s="2"/>
    </row>
    <row r="7" spans="1:10" ht="15" customHeight="1" x14ac:dyDescent="0.2">
      <c r="A7" s="20" t="s">
        <v>25</v>
      </c>
      <c r="B7" s="20" t="s">
        <v>41</v>
      </c>
      <c r="C7" s="2"/>
      <c r="D7" s="20" t="s">
        <v>44</v>
      </c>
      <c r="E7" s="2"/>
      <c r="F7" s="2"/>
      <c r="G7" s="2"/>
      <c r="H7" s="2"/>
      <c r="I7" s="2"/>
      <c r="J7" s="2"/>
    </row>
    <row r="8" spans="1:10" ht="15" customHeight="1" x14ac:dyDescent="0.2">
      <c r="A8" s="20" t="s">
        <v>45</v>
      </c>
      <c r="B8" s="20" t="s">
        <v>46</v>
      </c>
      <c r="C8" s="2"/>
      <c r="D8" s="20" t="s">
        <v>21</v>
      </c>
      <c r="E8" s="2"/>
      <c r="F8" s="2"/>
      <c r="G8" s="2"/>
      <c r="H8" s="2"/>
      <c r="I8" s="2"/>
      <c r="J8" s="2"/>
    </row>
    <row r="9" spans="1:10" ht="15" customHeight="1" x14ac:dyDescent="0.2">
      <c r="A9" s="20" t="s">
        <v>47</v>
      </c>
      <c r="B9" s="20" t="s">
        <v>48</v>
      </c>
      <c r="C9" s="2"/>
      <c r="D9" s="20" t="s">
        <v>49</v>
      </c>
      <c r="E9" s="2"/>
      <c r="F9" s="2"/>
      <c r="G9" s="2"/>
      <c r="H9" s="2"/>
      <c r="I9" s="2"/>
      <c r="J9" s="2"/>
    </row>
    <row r="10" spans="1:10" ht="15" customHeight="1" x14ac:dyDescent="0.2">
      <c r="A10" s="20" t="s">
        <v>50</v>
      </c>
      <c r="B10" s="20" t="s">
        <v>51</v>
      </c>
      <c r="C10" s="2"/>
      <c r="D10" s="20" t="s">
        <v>52</v>
      </c>
      <c r="E10" s="2"/>
      <c r="F10" s="2"/>
      <c r="G10" s="2"/>
      <c r="H10" s="2"/>
      <c r="I10" s="2"/>
      <c r="J10" s="2"/>
    </row>
    <row r="11" spans="1:10" ht="15" customHeight="1" x14ac:dyDescent="0.2">
      <c r="A11" s="20"/>
      <c r="B11" s="20"/>
      <c r="C11" s="2"/>
      <c r="D11" s="20"/>
      <c r="E11" s="2"/>
      <c r="F11" s="2"/>
      <c r="G11" s="2"/>
      <c r="H11" s="2"/>
      <c r="I11" s="2"/>
      <c r="J11" s="2"/>
    </row>
    <row r="12" spans="1:10" ht="15" customHeight="1" x14ac:dyDescent="0.2">
      <c r="A12" s="20"/>
      <c r="B12" s="20"/>
      <c r="C12" s="2"/>
      <c r="D12" s="20"/>
      <c r="E12" s="2"/>
      <c r="F12" s="2"/>
      <c r="G12" s="2"/>
      <c r="H12" s="2"/>
      <c r="I12" s="2"/>
      <c r="J12" s="2"/>
    </row>
    <row r="13" spans="1:10" ht="15" customHeight="1" x14ac:dyDescent="0.2">
      <c r="A13" s="20"/>
      <c r="B13" s="20"/>
      <c r="C13" s="2"/>
      <c r="D13" s="20"/>
      <c r="E13" s="2"/>
      <c r="F13" s="2"/>
      <c r="G13" s="2"/>
      <c r="H13" s="2"/>
      <c r="I13" s="2"/>
      <c r="J13" s="2"/>
    </row>
    <row r="14" spans="1:10" ht="15" customHeight="1" x14ac:dyDescent="0.2">
      <c r="A14" s="20"/>
      <c r="B14" s="20"/>
      <c r="C14" s="2"/>
      <c r="D14" s="20"/>
      <c r="E14" s="2"/>
      <c r="F14" s="2"/>
      <c r="G14" s="2"/>
      <c r="H14" s="2"/>
      <c r="I14" s="2"/>
      <c r="J14" s="2"/>
    </row>
    <row r="15" spans="1:10" ht="15" customHeight="1" x14ac:dyDescent="0.2">
      <c r="A15" s="20"/>
      <c r="B15" s="20"/>
      <c r="C15" s="2"/>
      <c r="D15" s="20"/>
      <c r="E15" s="2"/>
      <c r="F15" s="2"/>
      <c r="G15" s="2"/>
      <c r="H15" s="2"/>
      <c r="I15" s="2"/>
      <c r="J15" s="2"/>
    </row>
    <row r="16" spans="1:10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1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1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ht="1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t="1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ht="1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ht="1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ht="1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ht="1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ht="1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ht="1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ht="1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ht="1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ht="1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ht="1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ht="1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ht="1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ht="1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ht="1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ht="1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ht="1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ht="1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ht="1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ht="1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ht="1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ht="1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ht="1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ht="1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ht="1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ht="1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ht="1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ht="1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ht="1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1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1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ht="1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ht="1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ht="1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ht="1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ht="1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ht="1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ht="1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ht="1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ht="1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ht="1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ht="1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ht="1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ht="1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ht="1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ht="1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ht="1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ht="1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ht="1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ht="1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ht="1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ht="1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ht="1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ht="1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ht="1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ht="1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ht="1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ht="1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ht="1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ht="1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ht="1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ht="1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ht="1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ht="1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ht="1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ht="1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ht="1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ht="1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ht="1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ht="1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ht="1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ht="1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ht="1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ht="1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ht="1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ht="1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ht="1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ht="1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ht="1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ht="1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ht="1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ht="1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ht="1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ht="1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ht="1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ht="1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ht="1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ht="1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ht="1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ht="1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ht="1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ht="1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ht="1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ht="1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ht="1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ht="1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ht="1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ht="1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ht="1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ht="1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ht="1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ht="1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ht="1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ht="1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ht="1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ht="1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ht="1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ht="1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ht="1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ht="1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ht="1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ht="1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ht="1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ht="1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ht="1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ht="1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ht="1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ht="1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ht="1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ht="1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ht="1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ht="1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ht="1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ht="1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ht="1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ht="1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ht="1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ht="1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ht="1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ht="1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ht="1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ht="1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ht="1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ht="1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ht="1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ht="1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ht="1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ht="1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ht="1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ht="1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ht="1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ht="1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ht="1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ht="1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ht="1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ht="1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ht="1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ht="1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ht="1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ht="1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ht="1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ht="1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1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ht="1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ht="1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ht="1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ht="1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ht="1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ht="1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ht="1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ht="1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ht="1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ht="1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ht="1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ht="1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ht="1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ht="1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ht="1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ht="1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ht="1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ht="1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ht="1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ht="1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ht="1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ht="1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ht="1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ht="1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ht="1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ht="1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</vt:i4>
      </vt:variant>
    </vt:vector>
  </HeadingPairs>
  <TitlesOfParts>
    <vt:vector size="7" baseType="lpstr">
      <vt:lpstr>Dashboard</vt:lpstr>
      <vt:lpstr>Tela_Lancamento</vt:lpstr>
      <vt:lpstr>Solicitacoes</vt:lpstr>
      <vt:lpstr>Itens_Solicitacao</vt:lpstr>
      <vt:lpstr>Cadastros</vt:lpstr>
      <vt:lpstr>listaCodigosEquipamentos</vt:lpstr>
      <vt:lpstr>listaTurmas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Lab3</cp:lastModifiedBy>
  <dcterms:created xsi:type="dcterms:W3CDTF">2026-10-02T13:56:31Z</dcterms:created>
  <dcterms:modified xsi:type="dcterms:W3CDTF">2026-10-08T11:20:37Z</dcterms:modified>
</cp:coreProperties>
</file>